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514" codeName="{BC58C6B1-8752-B0C3-C2C4-DFD462C6FBCC}"/>
  <workbookPr codeName="ThisWorkbook" defaultThemeVersion="166925"/>
  <mc:AlternateContent xmlns:mc="http://schemas.openxmlformats.org/markup-compatibility/2006">
    <mc:Choice Requires="x15">
      <x15ac:absPath xmlns:x15ac="http://schemas.microsoft.com/office/spreadsheetml/2010/11/ac" url="/Users/john/Downloads/PLU-Image-Processor-main/"/>
    </mc:Choice>
  </mc:AlternateContent>
  <xr:revisionPtr revIDLastSave="0" documentId="13_ncr:1_{1D7B45D3-FEC4-2C4A-BE1F-CB5037739262}" xr6:coauthVersionLast="47" xr6:coauthVersionMax="47" xr10:uidLastSave="{00000000-0000-0000-0000-000000000000}"/>
  <bookViews>
    <workbookView xWindow="0" yWindow="760" windowWidth="34560" windowHeight="20460" xr2:uid="{B6BFFCF9-1CE2-44EC-8165-702EACD8C6C5}"/>
  </bookViews>
  <sheets>
    <sheet name="Sheet1" sheetId="1"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61" i="1" l="1"/>
  <c r="F62" i="1"/>
  <c r="E58" i="1"/>
  <c r="F58" i="1"/>
  <c r="J41" i="1"/>
  <c r="J42" i="1"/>
  <c r="J43" i="1"/>
  <c r="J44" i="1"/>
  <c r="J45" i="1"/>
  <c r="J46" i="1"/>
  <c r="J47" i="1"/>
  <c r="J48" i="1"/>
  <c r="J49" i="1"/>
  <c r="J50" i="1"/>
  <c r="J51" i="1"/>
  <c r="J52" i="1"/>
  <c r="J53" i="1"/>
  <c r="J54" i="1"/>
  <c r="J55" i="1"/>
  <c r="J40" i="1"/>
  <c r="F63" i="1"/>
  <c r="F64" i="1"/>
  <c r="F65" i="1"/>
  <c r="F66" i="1"/>
  <c r="F67" i="1"/>
  <c r="F68" i="1"/>
  <c r="F69" i="1"/>
  <c r="F70" i="1"/>
  <c r="F71" i="1"/>
  <c r="F72" i="1"/>
  <c r="F60" i="1"/>
  <c r="F59" i="1"/>
  <c r="F11" i="1" a="1"/>
  <c r="F26" i="1" a="1"/>
  <c r="F13" i="1" a="1"/>
  <c r="F27" i="1" a="1"/>
  <c r="F28" i="1" a="1"/>
  <c r="F30" i="1" a="1"/>
  <c r="F20" i="1" a="1"/>
  <c r="E69" i="1" a="1"/>
  <c r="F29" i="1" a="1"/>
  <c r="E70" i="1" a="1"/>
  <c r="E71" i="1" a="1"/>
  <c r="E68" i="1" a="1"/>
  <c r="E64" i="1" a="1"/>
  <c r="E72" i="1" a="1"/>
  <c r="E66" i="1" a="1"/>
  <c r="E65" i="1" a="1"/>
  <c r="F9" i="1" a="1"/>
  <c r="F14" i="1" a="1"/>
  <c r="E67" i="1" a="1"/>
  <c r="F10" i="1" a="1"/>
  <c r="F22" i="1" a="1"/>
  <c r="F12" i="1" a="1"/>
  <c r="F18" i="1" a="1"/>
  <c r="F25" i="1" a="1"/>
  <c r="F15" i="1" a="1"/>
  <c r="F24" i="1" a="1"/>
  <c r="F17" i="1" a="1"/>
  <c r="F19" i="1" a="1"/>
  <c r="F16" i="1" a="1"/>
  <c r="F31" i="1" a="1"/>
  <c r="F23" i="1" a="1"/>
  <c r="F21" i="1" a="1"/>
  <c r="E61" i="1" a="1"/>
  <c r="E60" i="1" a="1"/>
  <c r="E62" i="1" a="1"/>
  <c r="E63" i="1" a="1"/>
  <c r="E59" i="1" a="1"/>
  <c r="E61" i="1" l="1"/>
  <c r="E60" i="1"/>
  <c r="E62" i="1"/>
  <c r="E59" i="1"/>
  <c r="E67" i="1"/>
  <c r="E65" i="1"/>
  <c r="E66" i="1"/>
  <c r="E72" i="1"/>
  <c r="E64" i="1"/>
  <c r="E63" i="1"/>
  <c r="E68" i="1"/>
  <c r="E71" i="1"/>
  <c r="E70" i="1"/>
  <c r="E69" i="1"/>
  <c r="F21" i="1"/>
  <c r="F31" i="1"/>
  <c r="F14" i="1"/>
  <c r="F18" i="1"/>
  <c r="F13" i="1"/>
  <c r="F29" i="1"/>
  <c r="F19" i="1"/>
  <c r="F17" i="1"/>
  <c r="F12" i="1"/>
  <c r="F24" i="1"/>
  <c r="F20" i="1"/>
  <c r="F30" i="1"/>
  <c r="F28" i="1"/>
  <c r="F27" i="1"/>
  <c r="F26" i="1"/>
  <c r="F11" i="1"/>
  <c r="F23" i="1"/>
  <c r="F16" i="1"/>
  <c r="F15" i="1"/>
  <c r="F25" i="1"/>
  <c r="F22" i="1"/>
  <c r="F10" i="1"/>
  <c r="F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<sst xmlns="http://schemas.openxmlformats.org/spreadsheetml/2006/main" count="167" uniqueCount="122">
  <si>
    <t>Bits</t>
  </si>
  <si>
    <t>Register</t>
  </si>
  <si>
    <t>Description</t>
  </si>
  <si>
    <t>31-30</t>
  </si>
  <si>
    <t>RESERVED</t>
  </si>
  <si>
    <t>Reserved bits</t>
  </si>
  <si>
    <t>EN_A_INPUT</t>
  </si>
  <si>
    <t>EN_B_INPUT</t>
  </si>
  <si>
    <t>26-24</t>
  </si>
  <si>
    <t>17-0</t>
  </si>
  <si>
    <t>23-18</t>
  </si>
  <si>
    <t>29-27</t>
  </si>
  <si>
    <t>Color channel mux</t>
  </si>
  <si>
    <t>opcode</t>
  </si>
  <si>
    <t>Input register enable. When set to 1, the input data is clocked into the registers on the rising edge of CLK. When 0, all inputs are ignored. Each bit represents one color channel (R,G,B). Default is 111</t>
  </si>
  <si>
    <t xml:space="preserve">Register that controls the color channel order. See Color channel mux table for detailed operations. Default is 0x6, assigns RGB to default order. </t>
  </si>
  <si>
    <t xml:space="preserve">PLU operation code. 18-bits are split into three 6-bit words for each color channel. Most significant 2-bits control the output/input registers. 4 least significant bits are the instruction bits. See opcode register table for detailed instruction set. </t>
  </si>
  <si>
    <t>Color Channel Mux</t>
  </si>
  <si>
    <t>5-4</t>
  </si>
  <si>
    <t>3-2</t>
  </si>
  <si>
    <t>1-0</t>
  </si>
  <si>
    <t>Red channel Mux</t>
  </si>
  <si>
    <t>Green Channel Mux</t>
  </si>
  <si>
    <t>Blue Channel Mux</t>
  </si>
  <si>
    <t>Instruction List</t>
  </si>
  <si>
    <t>Mux Data</t>
  </si>
  <si>
    <t>4-input mux capable of swapping the red channel with green or blue</t>
  </si>
  <si>
    <t>4-input mux capable of swapping the green channel with red or blue</t>
  </si>
  <si>
    <t>4-input mux capable of swapping the blue channel with red or green</t>
  </si>
  <si>
    <t>RGB</t>
  </si>
  <si>
    <t>RRB</t>
  </si>
  <si>
    <t>RRR</t>
  </si>
  <si>
    <t>GRB</t>
  </si>
  <si>
    <t>RRG</t>
  </si>
  <si>
    <t>RGR</t>
  </si>
  <si>
    <t>RBR</t>
  </si>
  <si>
    <t>RGG</t>
  </si>
  <si>
    <t>GRG</t>
  </si>
  <si>
    <t>GGR</t>
  </si>
  <si>
    <t>RBG</t>
  </si>
  <si>
    <t>BRG</t>
  </si>
  <si>
    <t>BGR</t>
  </si>
  <si>
    <t>RBB</t>
  </si>
  <si>
    <t>BRB</t>
  </si>
  <si>
    <t>BBR</t>
  </si>
  <si>
    <t>GGG</t>
  </si>
  <si>
    <t>GGB</t>
  </si>
  <si>
    <t>GBG</t>
  </si>
  <si>
    <t>BGG</t>
  </si>
  <si>
    <t>GBB</t>
  </si>
  <si>
    <t>BGB</t>
  </si>
  <si>
    <t>BBG</t>
  </si>
  <si>
    <t>Register value</t>
  </si>
  <si>
    <t>00</t>
  </si>
  <si>
    <t>01</t>
  </si>
  <si>
    <t>10</t>
  </si>
  <si>
    <t>Opcode Register Table</t>
  </si>
  <si>
    <t>3-0</t>
  </si>
  <si>
    <t>NEXT_PIXEL_CLK</t>
  </si>
  <si>
    <t>ACCEPT_DATA</t>
  </si>
  <si>
    <t>This is a multifunction bit. When 0, the output of the pixel ALU will be returned to its input, and the current output of the PLU will remain. When 1, the output of the ALU is sent to the PLU output register, and the Pixel CLK pin goes high, signalling that a new pixel is ready. This bit MUST go high at the end of an instruction set.</t>
  </si>
  <si>
    <t>This bit controls when new data is accepted into the ALU. When this bit is 0, and the NEXT_PIXEL_CLK bit is 0, the output data of the ALU will be fed back into itself for further processing. When this bit is 1, the data on input A will be clocked into the A input register. When starting a program, this bit MUST be high once to initialize the data processing sequence.</t>
  </si>
  <si>
    <t>Pixel Operation</t>
  </si>
  <si>
    <t>This 4-bit value determines what operatiuon is performed on the input pixel. A total of 14 operations can be done, with 15 outputting 0x00 and 16 outputting 0xFF. See the Pixel Operation Table for a list of possible operations and their associated codes.</t>
  </si>
  <si>
    <t>Op Code</t>
  </si>
  <si>
    <t>ADD A/B</t>
  </si>
  <si>
    <t>SUB A/B</t>
  </si>
  <si>
    <t>MULT A/B</t>
  </si>
  <si>
    <t>DIVIDE A/B</t>
  </si>
  <si>
    <t>SHIFT A</t>
  </si>
  <si>
    <t>NOT A</t>
  </si>
  <si>
    <t>A AND B</t>
  </si>
  <si>
    <t>A OR B</t>
  </si>
  <si>
    <t>A NAND B</t>
  </si>
  <si>
    <t>A NOR B</t>
  </si>
  <si>
    <t>A XOR B</t>
  </si>
  <si>
    <t>A XNOR B</t>
  </si>
  <si>
    <t>0x00</t>
  </si>
  <si>
    <t>0xFF</t>
  </si>
  <si>
    <t>0000</t>
  </si>
  <si>
    <t>0001</t>
  </si>
  <si>
    <t>0010</t>
  </si>
  <si>
    <t>0011</t>
  </si>
  <si>
    <t>0100</t>
  </si>
  <si>
    <t>0101</t>
  </si>
  <si>
    <t>0110</t>
  </si>
  <si>
    <t>0111</t>
  </si>
  <si>
    <t>1000</t>
  </si>
  <si>
    <t>1001</t>
  </si>
  <si>
    <t>1010</t>
  </si>
  <si>
    <t>1011</t>
  </si>
  <si>
    <t>1100</t>
  </si>
  <si>
    <t>PASS A</t>
  </si>
  <si>
    <t>PASS B</t>
  </si>
  <si>
    <t>1111</t>
  </si>
  <si>
    <t>Instruction Builder</t>
  </si>
  <si>
    <t>CH Enable</t>
  </si>
  <si>
    <t>Color Mux</t>
  </si>
  <si>
    <t>Operation</t>
  </si>
  <si>
    <t>Output Operation List:</t>
  </si>
  <si>
    <t>Instruction #</t>
  </si>
  <si>
    <t>Special Instructions</t>
  </si>
  <si>
    <t>NEXT</t>
  </si>
  <si>
    <t>HEX Code</t>
  </si>
  <si>
    <t>0x3F190410</t>
  </si>
  <si>
    <t>0x3F1B0C30</t>
  </si>
  <si>
    <t>NEXT (REQUIRED)</t>
  </si>
  <si>
    <t>CHA/CHB</t>
  </si>
  <si>
    <t>B Value</t>
  </si>
  <si>
    <t>R Value</t>
  </si>
  <si>
    <t>G Value</t>
  </si>
  <si>
    <t>Hex Output</t>
  </si>
  <si>
    <t>Control Data (B) MUST BE 8-BIT SIGNED</t>
  </si>
  <si>
    <t>LOAD</t>
  </si>
  <si>
    <t>NEXT_JUMP</t>
  </si>
  <si>
    <t>0x7F1B0C30</t>
  </si>
  <si>
    <t>0x3F180000</t>
  </si>
  <si>
    <t>Use for instruction 15</t>
  </si>
  <si>
    <t>Use for end of loop before 15</t>
  </si>
  <si>
    <t>NO_OP</t>
  </si>
  <si>
    <t>Use when passthrough required</t>
  </si>
  <si>
    <t>Use to load pixel into registers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</si>
</sst>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9">
    <fill>
      <patternFill patternType="none"/>
    </fill>
    <fill>
      <patternFill patternType="gray125"/>
    </fill>
    <fill>
      <patternFill patternType="solid">
        <fgColor theme="2" tint="-9.9978637043366805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1"/>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22">
    <xf numFmtId="0" fontId="0" fillId="0" borderId="0" xfId="0"/>
    <xf numFmtId="0" fontId="0" fillId="0" borderId="0" xfId="0" applyAlignment="1">
      <alignment vertical="top" wrapText="1"/>
    </xf>
    <xf numFmtId="0" fontId="0" fillId="0" borderId="0" xfId="0" applyAlignment="1">
      <alignment vertical="top"/>
    </xf>
    <xf numFmtId="0" fontId="0" fillId="0" borderId="0" xfId="0" applyAlignment="1">
      <alignment horizontal="center" vertical="top"/>
    </xf>
    <xf numFmtId="0" fontId="0" fillId="0" borderId="0" xfId="0" applyAlignment="1">
      <alignment horizontal="left" vertical="top" wrapText="1"/>
    </xf>
    <xf numFmtId="0" fontId="0" fillId="2" borderId="0" xfId="0" applyFill="1" applyAlignment="1">
      <alignment horizontal="center" vertical="top"/>
    </xf>
    <xf numFmtId="49" fontId="0" fillId="3" borderId="0" xfId="0" applyNumberFormat="1" applyFill="1" applyAlignment="1">
      <alignment vertical="top"/>
    </xf>
    <xf numFmtId="49" fontId="0" fillId="4" borderId="0" xfId="0" applyNumberFormat="1" applyFill="1" applyAlignment="1">
      <alignment vertical="top"/>
    </xf>
    <xf numFmtId="49" fontId="0" fillId="5" borderId="0" xfId="0" applyNumberFormat="1" applyFill="1" applyAlignment="1">
      <alignment vertical="top"/>
    </xf>
    <xf numFmtId="49" fontId="0" fillId="0" borderId="0" xfId="0" applyNumberFormat="1" applyAlignment="1">
      <alignment vertical="top"/>
    </xf>
    <xf numFmtId="0" fontId="0" fillId="2" borderId="0" xfId="0" applyFill="1" applyAlignment="1">
      <alignment vertical="top"/>
    </xf>
    <xf numFmtId="49" fontId="0" fillId="0" borderId="0" xfId="0" applyNumberFormat="1" applyAlignment="1">
      <alignment horizontal="center" vertical="top"/>
    </xf>
    <xf numFmtId="0" fontId="0" fillId="0" borderId="0" xfId="0" applyAlignment="1">
      <alignment horizontal="right" vertical="top"/>
    </xf>
    <xf numFmtId="49" fontId="0" fillId="2" borderId="0" xfId="0" applyNumberFormat="1" applyFill="1" applyAlignment="1">
      <alignment horizontal="center" vertical="top"/>
    </xf>
    <xf numFmtId="0" fontId="0" fillId="6" borderId="0" xfId="0" applyFill="1" applyAlignment="1">
      <alignment vertical="top"/>
    </xf>
    <xf numFmtId="0" fontId="0" fillId="7" borderId="0" xfId="0" applyFill="1" applyAlignment="1">
      <alignment vertical="top"/>
    </xf>
    <xf numFmtId="0" fontId="0" fillId="8" borderId="0" xfId="0" applyFill="1" applyAlignment="1">
      <alignment vertical="top"/>
    </xf>
    <xf numFmtId="0" fontId="0" fillId="6" borderId="0" xfId="0" applyFill="1" applyAlignment="1">
      <alignment horizontal="center" vertical="top"/>
    </xf>
    <xf numFmtId="0" fontId="0" fillId="2" borderId="0" xfId="0" applyFill="1" applyAlignment="1">
      <alignment horizontal="center" vertical="top"/>
    </xf>
    <xf numFmtId="0" fontId="0" fillId="0" borderId="0" xfId="0" applyAlignment="1">
      <alignment horizontal="center" vertical="top"/>
    </xf>
    <xf numFmtId="49" fontId="0" fillId="0" borderId="0" xfId="0" applyNumberFormat="1" applyAlignment="1">
      <alignment horizontal="center" vertical="top"/>
    </xf>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eetMetadata" Target="metadata.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EF2DB3-C296-4741-A1C0-0646EAA320FB}">
  <sheetPr codeName="Sheet1"/>
  <dimension ref="A1:J73"/>
  <sheetViews>
    <sheetView tabSelected="1" topLeftCell="A27" zoomScale="89" zoomScaleNormal="85" workbookViewId="0">
      <selection activeCell="C68" sqref="C68"/>
    </sheetView>
  </sheetViews>
  <sheetFormatPr baseColWidth="10" defaultColWidth="9.1640625" defaultRowHeight="15" x14ac:dyDescent="0.2"/>
  <cols>
    <col min="1" max="1" width="16.83203125" style="2" bestFit="1" customWidth="1"/>
    <col min="2" max="2" width="24.83203125" style="2" bestFit="1" customWidth="1"/>
    <col min="3" max="3" width="39" style="2" customWidth="1"/>
    <col min="4" max="4" width="41.33203125" style="2" customWidth="1"/>
    <col min="5" max="5" width="37.5" style="2" customWidth="1"/>
    <col min="6" max="6" width="39.1640625" style="2" customWidth="1"/>
    <col min="7" max="7" width="16.33203125" style="2" bestFit="1" customWidth="1"/>
    <col min="8" max="9" width="9.1640625" style="2"/>
    <col min="10" max="10" width="10.33203125" style="2" bestFit="1" customWidth="1"/>
    <col min="11" max="16384" width="9.1640625" style="2"/>
  </cols>
  <sheetData>
    <row r="1" spans="1:6" x14ac:dyDescent="0.2">
      <c r="A1" s="2" t="s">
        <v>0</v>
      </c>
      <c r="B1" s="2" t="s">
        <v>3</v>
      </c>
      <c r="C1" s="2" t="s">
        <v>11</v>
      </c>
      <c r="D1" s="2" t="s">
        <v>8</v>
      </c>
      <c r="E1" s="2" t="s">
        <v>10</v>
      </c>
      <c r="F1" s="2" t="s">
        <v>9</v>
      </c>
    </row>
    <row r="2" spans="1:6" x14ac:dyDescent="0.2">
      <c r="A2" s="2" t="s">
        <v>1</v>
      </c>
      <c r="B2" s="2" t="s">
        <v>4</v>
      </c>
      <c r="C2" s="2" t="s">
        <v>6</v>
      </c>
      <c r="D2" s="2" t="s">
        <v>7</v>
      </c>
      <c r="E2" s="2" t="s">
        <v>12</v>
      </c>
      <c r="F2" s="2" t="s">
        <v>13</v>
      </c>
    </row>
    <row r="3" spans="1:6" ht="80" x14ac:dyDescent="0.2">
      <c r="A3" s="2" t="s">
        <v>2</v>
      </c>
      <c r="B3" s="2" t="s">
        <v>5</v>
      </c>
      <c r="C3" s="1" t="s">
        <v>14</v>
      </c>
      <c r="D3" s="4" t="s">
        <v>14</v>
      </c>
      <c r="E3" s="4" t="s">
        <v>15</v>
      </c>
      <c r="F3" s="4" t="s">
        <v>16</v>
      </c>
    </row>
    <row r="7" spans="1:6" x14ac:dyDescent="0.2">
      <c r="A7" s="18" t="s">
        <v>17</v>
      </c>
      <c r="B7" s="18"/>
      <c r="C7" s="18"/>
      <c r="D7" s="18"/>
      <c r="E7" s="18"/>
      <c r="F7" s="18"/>
    </row>
    <row r="8" spans="1:6" x14ac:dyDescent="0.2">
      <c r="A8" s="2" t="s">
        <v>0</v>
      </c>
      <c r="B8" s="6" t="s">
        <v>18</v>
      </c>
      <c r="C8" s="7" t="s">
        <v>19</v>
      </c>
      <c r="D8" s="8" t="s">
        <v>20</v>
      </c>
      <c r="E8" s="9" t="s">
        <v>24</v>
      </c>
      <c r="F8" s="9" t="s">
        <v>25</v>
      </c>
    </row>
    <row r="9" spans="1:6" x14ac:dyDescent="0.2">
      <c r="A9" s="2" t="s">
        <v>1</v>
      </c>
      <c r="B9" s="2" t="s">
        <v>21</v>
      </c>
      <c r="C9" s="2" t="s">
        <v>22</v>
      </c>
      <c r="D9" s="2" t="s">
        <v>23</v>
      </c>
      <c r="E9" s="2" t="s">
        <v>31</v>
      </c>
      <c r="F9" s="2" t="str" cm="1">
        <f t="array" ref="F9">RGBToBinary(E9)</f>
        <v>000000</v>
      </c>
    </row>
    <row r="10" spans="1:6" ht="48" x14ac:dyDescent="0.2">
      <c r="A10" s="2" t="s">
        <v>2</v>
      </c>
      <c r="B10" s="1" t="s">
        <v>26</v>
      </c>
      <c r="C10" s="1" t="s">
        <v>27</v>
      </c>
      <c r="D10" s="1" t="s">
        <v>28</v>
      </c>
      <c r="E10" s="2" t="s">
        <v>33</v>
      </c>
      <c r="F10" s="2" t="str" cm="1">
        <f t="array" ref="F10">RGBToBinary(E10)</f>
        <v>000001</v>
      </c>
    </row>
    <row r="11" spans="1:6" x14ac:dyDescent="0.2">
      <c r="A11" s="2" t="s">
        <v>52</v>
      </c>
      <c r="B11" s="9" t="s">
        <v>53</v>
      </c>
      <c r="C11" s="9" t="s">
        <v>54</v>
      </c>
      <c r="D11" s="9" t="s">
        <v>55</v>
      </c>
      <c r="E11" s="2" t="s">
        <v>34</v>
      </c>
      <c r="F11" s="2" t="str" cm="1">
        <f t="array" ref="F11">RGBToBinary(E11)</f>
        <v>000100</v>
      </c>
    </row>
    <row r="12" spans="1:6" x14ac:dyDescent="0.2">
      <c r="E12" s="2" t="s">
        <v>30</v>
      </c>
      <c r="F12" s="2" t="str" cm="1">
        <f t="array" ref="F12">RGBToBinary(E12)</f>
        <v>000010</v>
      </c>
    </row>
    <row r="13" spans="1:6" x14ac:dyDescent="0.2">
      <c r="E13" s="2" t="s">
        <v>35</v>
      </c>
      <c r="F13" s="2" t="str" cm="1">
        <f t="array" ref="F13">RGBToBinary(E13)</f>
        <v>001000</v>
      </c>
    </row>
    <row r="14" spans="1:6" x14ac:dyDescent="0.2">
      <c r="E14" s="2" t="s">
        <v>36</v>
      </c>
      <c r="F14" s="2" t="str" cm="1">
        <f t="array" ref="F14">RGBToBinary(E14)</f>
        <v>000101</v>
      </c>
    </row>
    <row r="15" spans="1:6" x14ac:dyDescent="0.2">
      <c r="E15" s="2" t="s">
        <v>37</v>
      </c>
      <c r="F15" s="2" t="str" cm="1">
        <f t="array" ref="F15">RGBToBinary(E15)</f>
        <v>010001</v>
      </c>
    </row>
    <row r="16" spans="1:6" x14ac:dyDescent="0.2">
      <c r="E16" s="2" t="s">
        <v>38</v>
      </c>
      <c r="F16" s="2" t="str" cm="1">
        <f t="array" ref="F16">RGBToBinary(E16)</f>
        <v>010100</v>
      </c>
    </row>
    <row r="17" spans="1:6" x14ac:dyDescent="0.2">
      <c r="E17" s="2" t="s">
        <v>29</v>
      </c>
      <c r="F17" s="2" t="str" cm="1">
        <f t="array" ref="F17">RGBToBinary(E17)</f>
        <v>000110</v>
      </c>
    </row>
    <row r="18" spans="1:6" x14ac:dyDescent="0.2">
      <c r="E18" s="2" t="s">
        <v>39</v>
      </c>
      <c r="F18" s="2" t="str" cm="1">
        <f t="array" ref="F18">RGBToBinary(E18)</f>
        <v>001001</v>
      </c>
    </row>
    <row r="19" spans="1:6" x14ac:dyDescent="0.2">
      <c r="E19" s="2" t="s">
        <v>32</v>
      </c>
      <c r="F19" s="2" t="str" cm="1">
        <f t="array" ref="F19">RGBToBinary(E19)</f>
        <v>010010</v>
      </c>
    </row>
    <row r="20" spans="1:6" x14ac:dyDescent="0.2">
      <c r="E20" s="2" t="s">
        <v>40</v>
      </c>
      <c r="F20" s="2" t="str" cm="1">
        <f t="array" ref="F20">RGBToBinary(E20)</f>
        <v>100001</v>
      </c>
    </row>
    <row r="21" spans="1:6" x14ac:dyDescent="0.2">
      <c r="E21" s="2" t="s">
        <v>41</v>
      </c>
      <c r="F21" s="2" t="str" cm="1">
        <f t="array" ref="F21">RGBToBinary(E21)</f>
        <v>100100</v>
      </c>
    </row>
    <row r="22" spans="1:6" x14ac:dyDescent="0.2">
      <c r="E22" s="2" t="s">
        <v>42</v>
      </c>
      <c r="F22" s="2" t="str" cm="1">
        <f t="array" ref="F22">RGBToBinary(E22)</f>
        <v>001010</v>
      </c>
    </row>
    <row r="23" spans="1:6" x14ac:dyDescent="0.2">
      <c r="E23" s="2" t="s">
        <v>43</v>
      </c>
      <c r="F23" s="2" t="str" cm="1">
        <f t="array" ref="F23">RGBToBinary(E23)</f>
        <v>100010</v>
      </c>
    </row>
    <row r="24" spans="1:6" x14ac:dyDescent="0.2">
      <c r="E24" s="2" t="s">
        <v>44</v>
      </c>
      <c r="F24" s="2" t="str" cm="1">
        <f t="array" ref="F24">RGBToBinary(E24)</f>
        <v>101000</v>
      </c>
    </row>
    <row r="25" spans="1:6" x14ac:dyDescent="0.2">
      <c r="E25" s="2" t="s">
        <v>45</v>
      </c>
      <c r="F25" s="2" t="str" cm="1">
        <f t="array" ref="F25">RGBToBinary(E25)</f>
        <v>010101</v>
      </c>
    </row>
    <row r="26" spans="1:6" x14ac:dyDescent="0.2">
      <c r="E26" s="2" t="s">
        <v>46</v>
      </c>
      <c r="F26" s="2" t="str" cm="1">
        <f t="array" ref="F26">RGBToBinary(E26)</f>
        <v>010110</v>
      </c>
    </row>
    <row r="27" spans="1:6" x14ac:dyDescent="0.2">
      <c r="E27" s="2" t="s">
        <v>47</v>
      </c>
      <c r="F27" s="2" t="str" cm="1">
        <f t="array" ref="F27">RGBToBinary(E27)</f>
        <v>011001</v>
      </c>
    </row>
    <row r="28" spans="1:6" x14ac:dyDescent="0.2">
      <c r="E28" s="2" t="s">
        <v>48</v>
      </c>
      <c r="F28" s="2" t="str" cm="1">
        <f t="array" ref="F28">RGBToBinary(E28)</f>
        <v>100101</v>
      </c>
    </row>
    <row r="29" spans="1:6" x14ac:dyDescent="0.2">
      <c r="E29" s="2" t="s">
        <v>49</v>
      </c>
      <c r="F29" s="2" t="str" cm="1">
        <f t="array" ref="F29">RGBToBinary(E29)</f>
        <v>011010</v>
      </c>
    </row>
    <row r="30" spans="1:6" x14ac:dyDescent="0.2">
      <c r="E30" s="2" t="s">
        <v>50</v>
      </c>
      <c r="F30" s="2" t="str" cm="1">
        <f t="array" ref="F30">RGBToBinary(E30)</f>
        <v>100110</v>
      </c>
    </row>
    <row r="31" spans="1:6" x14ac:dyDescent="0.2">
      <c r="E31" s="2" t="s">
        <v>51</v>
      </c>
      <c r="F31" s="2" t="str" cm="1">
        <f t="array" ref="F31">RGBToBinary(E31)</f>
        <v>101001</v>
      </c>
    </row>
    <row r="32" spans="1:6" x14ac:dyDescent="0.2">
      <c r="A32" s="10"/>
      <c r="B32" s="10"/>
      <c r="C32" s="10"/>
      <c r="D32" s="10"/>
      <c r="E32" s="10"/>
      <c r="F32" s="10"/>
    </row>
    <row r="33" spans="1:10" x14ac:dyDescent="0.2">
      <c r="A33" s="19" t="s">
        <v>56</v>
      </c>
      <c r="B33" s="19"/>
      <c r="C33" s="19"/>
      <c r="D33" s="19"/>
      <c r="E33" s="19"/>
      <c r="F33" s="19"/>
    </row>
    <row r="34" spans="1:10" x14ac:dyDescent="0.2">
      <c r="A34" s="2" t="s">
        <v>0</v>
      </c>
      <c r="B34" s="20">
        <v>5</v>
      </c>
      <c r="C34" s="20"/>
      <c r="D34" s="20">
        <v>4</v>
      </c>
      <c r="E34" s="20"/>
      <c r="F34" s="9" t="s">
        <v>57</v>
      </c>
    </row>
    <row r="35" spans="1:10" x14ac:dyDescent="0.2">
      <c r="A35" s="2" t="s">
        <v>1</v>
      </c>
      <c r="B35" s="19" t="s">
        <v>58</v>
      </c>
      <c r="C35" s="19"/>
      <c r="D35" s="19" t="s">
        <v>59</v>
      </c>
      <c r="E35" s="19"/>
      <c r="F35" s="2" t="s">
        <v>62</v>
      </c>
    </row>
    <row r="36" spans="1:10" ht="94.25" customHeight="1" x14ac:dyDescent="0.2">
      <c r="A36" s="2" t="s">
        <v>2</v>
      </c>
      <c r="B36" s="21" t="s">
        <v>60</v>
      </c>
      <c r="C36" s="21"/>
      <c r="D36" s="21" t="s">
        <v>61</v>
      </c>
      <c r="E36" s="21"/>
      <c r="F36" s="1" t="s">
        <v>63</v>
      </c>
    </row>
    <row r="37" spans="1:10" x14ac:dyDescent="0.2">
      <c r="A37" s="10"/>
      <c r="B37" s="10"/>
      <c r="C37" s="10"/>
      <c r="D37" s="10"/>
      <c r="E37" s="10"/>
      <c r="F37" s="10"/>
      <c r="G37" s="10"/>
      <c r="H37" s="10"/>
    </row>
    <row r="38" spans="1:10" x14ac:dyDescent="0.2">
      <c r="A38" s="10" t="s">
        <v>62</v>
      </c>
      <c r="B38" s="5" t="s">
        <v>64</v>
      </c>
      <c r="D38" s="14"/>
      <c r="E38" s="14" t="s">
        <v>95</v>
      </c>
      <c r="F38" s="14"/>
      <c r="G38" s="17" t="s">
        <v>112</v>
      </c>
      <c r="H38" s="17"/>
      <c r="I38" s="17"/>
      <c r="J38" s="17"/>
    </row>
    <row r="39" spans="1:10" x14ac:dyDescent="0.2">
      <c r="A39" s="2" t="s">
        <v>92</v>
      </c>
      <c r="B39" s="11" t="s">
        <v>79</v>
      </c>
      <c r="C39" s="12" t="s">
        <v>100</v>
      </c>
      <c r="D39" s="2" t="s">
        <v>96</v>
      </c>
      <c r="E39" s="2" t="s">
        <v>97</v>
      </c>
      <c r="F39" s="2" t="s">
        <v>98</v>
      </c>
      <c r="G39" s="2" t="s">
        <v>109</v>
      </c>
      <c r="H39" s="2" t="s">
        <v>110</v>
      </c>
      <c r="I39" s="2" t="s">
        <v>108</v>
      </c>
      <c r="J39" s="2" t="s">
        <v>111</v>
      </c>
    </row>
    <row r="40" spans="1:10" x14ac:dyDescent="0.2">
      <c r="A40" s="10" t="s">
        <v>93</v>
      </c>
      <c r="B40" s="13" t="s">
        <v>80</v>
      </c>
      <c r="C40" s="2">
        <v>0</v>
      </c>
      <c r="D40" s="2" t="s">
        <v>107</v>
      </c>
      <c r="E40" s="2" t="s">
        <v>29</v>
      </c>
      <c r="F40" s="2" t="s">
        <v>113</v>
      </c>
      <c r="J40" s="2" t="str">
        <f>CONCATENATE("0x", DEC2HEX(G40,2) &amp; DEC2HEX(H40,2) &amp; DEC2HEX(I40,2))</f>
        <v>0x000000</v>
      </c>
    </row>
    <row r="41" spans="1:10" x14ac:dyDescent="0.2">
      <c r="A41" s="2" t="s">
        <v>65</v>
      </c>
      <c r="B41" s="11" t="s">
        <v>81</v>
      </c>
      <c r="C41" s="2">
        <v>1</v>
      </c>
      <c r="D41" s="2" t="s">
        <v>107</v>
      </c>
      <c r="E41" s="2" t="s">
        <v>29</v>
      </c>
      <c r="F41" s="2" t="s">
        <v>72</v>
      </c>
      <c r="G41" s="2">
        <v>35</v>
      </c>
      <c r="H41" s="2">
        <v>50</v>
      </c>
      <c r="I41" s="2">
        <v>25</v>
      </c>
      <c r="J41" s="2" t="str">
        <f t="shared" ref="J41:J55" si="0">CONCATENATE("0x", DEC2HEX(G41,2) &amp; DEC2HEX(H41,2) &amp; DEC2HEX(I41,2))</f>
        <v>0x233219</v>
      </c>
    </row>
    <row r="42" spans="1:10" x14ac:dyDescent="0.2">
      <c r="A42" s="10" t="s">
        <v>66</v>
      </c>
      <c r="B42" s="13" t="s">
        <v>82</v>
      </c>
      <c r="C42" s="2">
        <v>2</v>
      </c>
      <c r="D42" s="2" t="s">
        <v>107</v>
      </c>
      <c r="E42" s="2" t="s">
        <v>33</v>
      </c>
      <c r="F42" s="2" t="s">
        <v>119</v>
      </c>
      <c r="J42" s="2" t="str">
        <f t="shared" si="0"/>
        <v>0x000000</v>
      </c>
    </row>
    <row r="43" spans="1:10" x14ac:dyDescent="0.2">
      <c r="A43" s="2" t="s">
        <v>67</v>
      </c>
      <c r="B43" s="11" t="s">
        <v>83</v>
      </c>
      <c r="C43" s="2">
        <v>3</v>
      </c>
      <c r="D43" s="2" t="s">
        <v>107</v>
      </c>
      <c r="E43" s="2" t="s">
        <v>29</v>
      </c>
      <c r="F43" s="2" t="s">
        <v>114</v>
      </c>
      <c r="J43" s="2" t="str">
        <f t="shared" si="0"/>
        <v>0x000000</v>
      </c>
    </row>
    <row r="44" spans="1:10" x14ac:dyDescent="0.2">
      <c r="A44" s="10" t="s">
        <v>68</v>
      </c>
      <c r="B44" s="13" t="s">
        <v>84</v>
      </c>
      <c r="C44" s="2">
        <v>4</v>
      </c>
      <c r="D44" s="2" t="s">
        <v>107</v>
      </c>
      <c r="E44" s="2" t="s">
        <v>32</v>
      </c>
      <c r="J44" s="2" t="str">
        <f t="shared" si="0"/>
        <v>0x000000</v>
      </c>
    </row>
    <row r="45" spans="1:10" x14ac:dyDescent="0.2">
      <c r="A45" s="2" t="s">
        <v>69</v>
      </c>
      <c r="B45" s="11" t="s">
        <v>85</v>
      </c>
      <c r="C45" s="2">
        <v>5</v>
      </c>
      <c r="D45" s="2" t="s">
        <v>107</v>
      </c>
      <c r="E45" s="2" t="s">
        <v>29</v>
      </c>
      <c r="J45" s="2" t="str">
        <f t="shared" si="0"/>
        <v>0x000000</v>
      </c>
    </row>
    <row r="46" spans="1:10" x14ac:dyDescent="0.2">
      <c r="A46" s="10" t="s">
        <v>70</v>
      </c>
      <c r="B46" s="13" t="s">
        <v>86</v>
      </c>
      <c r="C46" s="2">
        <v>6</v>
      </c>
      <c r="D46" s="2" t="s">
        <v>107</v>
      </c>
      <c r="E46" s="2" t="s">
        <v>29</v>
      </c>
      <c r="J46" s="2" t="str">
        <f t="shared" si="0"/>
        <v>0x000000</v>
      </c>
    </row>
    <row r="47" spans="1:10" x14ac:dyDescent="0.2">
      <c r="A47" s="2" t="s">
        <v>71</v>
      </c>
      <c r="B47" s="11" t="s">
        <v>87</v>
      </c>
      <c r="C47" s="2">
        <v>7</v>
      </c>
      <c r="D47" s="2" t="s">
        <v>107</v>
      </c>
      <c r="E47" s="2" t="s">
        <v>29</v>
      </c>
      <c r="J47" s="2" t="str">
        <f t="shared" si="0"/>
        <v>0x000000</v>
      </c>
    </row>
    <row r="48" spans="1:10" x14ac:dyDescent="0.2">
      <c r="A48" s="10" t="s">
        <v>72</v>
      </c>
      <c r="B48" s="13" t="s">
        <v>88</v>
      </c>
      <c r="C48" s="2">
        <v>8</v>
      </c>
      <c r="D48" s="2" t="s">
        <v>107</v>
      </c>
      <c r="E48" s="2" t="s">
        <v>29</v>
      </c>
      <c r="J48" s="2" t="str">
        <f t="shared" si="0"/>
        <v>0x000000</v>
      </c>
    </row>
    <row r="49" spans="1:10" x14ac:dyDescent="0.2">
      <c r="A49" s="2" t="s">
        <v>73</v>
      </c>
      <c r="B49" s="11" t="s">
        <v>89</v>
      </c>
      <c r="C49" s="2">
        <v>9</v>
      </c>
      <c r="D49" s="2" t="s">
        <v>107</v>
      </c>
      <c r="E49" s="2" t="s">
        <v>29</v>
      </c>
      <c r="J49" s="2" t="str">
        <f t="shared" si="0"/>
        <v>0x000000</v>
      </c>
    </row>
    <row r="50" spans="1:10" x14ac:dyDescent="0.2">
      <c r="A50" s="10" t="s">
        <v>74</v>
      </c>
      <c r="B50" s="13" t="s">
        <v>90</v>
      </c>
      <c r="C50" s="2">
        <v>10</v>
      </c>
      <c r="D50" s="2" t="s">
        <v>107</v>
      </c>
      <c r="E50" s="2" t="s">
        <v>29</v>
      </c>
      <c r="J50" s="2" t="str">
        <f t="shared" si="0"/>
        <v>0x000000</v>
      </c>
    </row>
    <row r="51" spans="1:10" x14ac:dyDescent="0.2">
      <c r="A51" s="2" t="s">
        <v>75</v>
      </c>
      <c r="B51" s="11" t="s">
        <v>91</v>
      </c>
      <c r="C51" s="2">
        <v>11</v>
      </c>
      <c r="D51" s="2" t="s">
        <v>107</v>
      </c>
      <c r="E51" s="2" t="s">
        <v>29</v>
      </c>
      <c r="J51" s="2" t="str">
        <f t="shared" si="0"/>
        <v>0x000000</v>
      </c>
    </row>
    <row r="52" spans="1:10" x14ac:dyDescent="0.2">
      <c r="A52" s="10" t="s">
        <v>76</v>
      </c>
      <c r="B52" s="5">
        <v>1101</v>
      </c>
      <c r="C52" s="2">
        <v>12</v>
      </c>
      <c r="D52" s="2" t="s">
        <v>107</v>
      </c>
      <c r="E52" s="2" t="s">
        <v>29</v>
      </c>
      <c r="J52" s="2" t="str">
        <f t="shared" si="0"/>
        <v>0x000000</v>
      </c>
    </row>
    <row r="53" spans="1:10" x14ac:dyDescent="0.2">
      <c r="A53" s="2" t="s">
        <v>77</v>
      </c>
      <c r="B53" s="3">
        <v>1110</v>
      </c>
      <c r="C53" s="2">
        <v>13</v>
      </c>
      <c r="D53" s="2" t="s">
        <v>107</v>
      </c>
      <c r="E53" s="2" t="s">
        <v>29</v>
      </c>
      <c r="J53" s="2" t="str">
        <f t="shared" si="0"/>
        <v>0x000000</v>
      </c>
    </row>
    <row r="54" spans="1:10" x14ac:dyDescent="0.2">
      <c r="A54" s="10" t="s">
        <v>78</v>
      </c>
      <c r="B54" s="13" t="s">
        <v>94</v>
      </c>
      <c r="C54" s="2">
        <v>14</v>
      </c>
      <c r="D54" s="2" t="s">
        <v>107</v>
      </c>
      <c r="E54" s="2" t="s">
        <v>29</v>
      </c>
      <c r="J54" s="2" t="str">
        <f t="shared" si="0"/>
        <v>0x000000</v>
      </c>
    </row>
    <row r="55" spans="1:10" x14ac:dyDescent="0.2">
      <c r="C55" s="2">
        <v>15</v>
      </c>
      <c r="D55" s="2" t="s">
        <v>107</v>
      </c>
      <c r="E55" s="2" t="s">
        <v>29</v>
      </c>
      <c r="J55" s="2" t="str">
        <f t="shared" si="0"/>
        <v>0x000000</v>
      </c>
    </row>
    <row r="56" spans="1:10" x14ac:dyDescent="0.2">
      <c r="A56" s="16" t="s">
        <v>101</v>
      </c>
      <c r="B56" s="16"/>
      <c r="C56" s="16" t="s">
        <v>103</v>
      </c>
      <c r="D56" s="15"/>
      <c r="E56" s="15"/>
      <c r="F56" s="15"/>
    </row>
    <row r="57" spans="1:10" x14ac:dyDescent="0.2">
      <c r="A57" s="2" t="s">
        <v>113</v>
      </c>
      <c r="B57" s="9" t="s">
        <v>121</v>
      </c>
      <c r="C57" s="2" t="s">
        <v>104</v>
      </c>
      <c r="D57" s="2" t="s">
        <v>99</v>
      </c>
      <c r="E57" s="2" t="s">
        <v>95</v>
      </c>
    </row>
    <row r="58" spans="1:10" x14ac:dyDescent="0.2">
      <c r="A58" s="2" t="s">
        <v>102</v>
      </c>
      <c r="B58" s="9" t="s">
        <v>117</v>
      </c>
      <c r="C58" s="2" t="s">
        <v>105</v>
      </c>
      <c r="D58" s="14">
        <v>0</v>
      </c>
      <c r="E58" s="14" t="str">
        <f>C57</f>
        <v>0x3F190410</v>
      </c>
      <c r="F58" s="14" t="str">
        <f>F40</f>
        <v>LOAD</v>
      </c>
    </row>
    <row r="59" spans="1:10" x14ac:dyDescent="0.2">
      <c r="A59" s="2" t="s">
        <v>114</v>
      </c>
      <c r="B59" s="2" t="s">
        <v>118</v>
      </c>
      <c r="C59" s="2" t="s">
        <v>115</v>
      </c>
      <c r="D59" s="2">
        <v>1</v>
      </c>
      <c r="E59" s="2" t="str" cm="1">
        <f t="array" ref="E59">CONCATENATE("0x", Build_Instruction(D40,E40,F40))</f>
        <v>0x3F180000</v>
      </c>
      <c r="F59" s="2" t="str">
        <f>CONCATENATE("EN ", D40, " | ", E40, " | ", F40)</f>
        <v>EN CHA/CHB | RGB | LOAD</v>
      </c>
    </row>
    <row r="60" spans="1:10" x14ac:dyDescent="0.2">
      <c r="A60" s="2" t="s">
        <v>119</v>
      </c>
      <c r="B60" s="2" t="s">
        <v>120</v>
      </c>
      <c r="C60" s="2" t="s">
        <v>116</v>
      </c>
      <c r="D60" s="2">
        <v>2</v>
      </c>
      <c r="E60" s="2" t="str" cm="1">
        <f t="array" ref="E60">CONCATENATE("0x", Build_Instruction(D41,E41,F41))</f>
        <v>0x0X3F189249</v>
      </c>
      <c r="F60" s="2" t="str">
        <f>CONCATENATE("EN ", D41, " | ", E41, " | ", F41)</f>
        <v>EN CHA/CHB | RGB | A OR B</v>
      </c>
    </row>
    <row r="61" spans="1:10" x14ac:dyDescent="0.2">
      <c r="B61" s="9"/>
      <c r="D61" s="2">
        <v>3</v>
      </c>
      <c r="E61" s="2" t="str" cm="1">
        <f t="array" ref="E61">CONCATENATE("0x", Build_Instruction(D42,E42,F42))</f>
        <v>0x3F180000</v>
      </c>
      <c r="F61" s="2" t="str">
        <f>CONCATENATE("EN ", D42, " | ", E42, " | ", F42)</f>
        <v>EN CHA/CHB | RRG | NO_OP</v>
      </c>
    </row>
    <row r="62" spans="1:10" x14ac:dyDescent="0.2">
      <c r="D62" s="2">
        <v>4</v>
      </c>
      <c r="E62" s="2" t="str" cm="1">
        <f t="array" ref="E62">CONCATENATE("0x", Build_Instruction(D43,E43,F43))</f>
        <v>0x7F1B0C30</v>
      </c>
      <c r="F62" s="2" t="str">
        <f xml:space="preserve"> CONCATENATE("EN ", D43, " | ", E43, " | ",F43)</f>
        <v>EN CHA/CHB | RGB | NEXT_JUMP</v>
      </c>
    </row>
    <row r="63" spans="1:10" x14ac:dyDescent="0.2">
      <c r="D63" s="2">
        <v>5</v>
      </c>
      <c r="E63" s="2" t="str" cm="1">
        <f t="array" ref="E63">CONCATENATE("0x", Build_Instruction(D44,E44,F44))</f>
        <v>0x3F480000</v>
      </c>
      <c r="F63" s="2" t="str">
        <f t="shared" ref="F61:F72" si="1">CONCATENATE("EN ", D44, " | ", E44, " | ", F44)</f>
        <v xml:space="preserve">EN CHA/CHB | GRB | </v>
      </c>
    </row>
    <row r="64" spans="1:10" x14ac:dyDescent="0.2">
      <c r="D64" s="2">
        <v>6</v>
      </c>
      <c r="E64" s="2" t="str" cm="1">
        <f t="array" ref="E64">CONCATENATE("0x", Build_Instruction(D45,E45,F45))</f>
        <v>0x3F180000</v>
      </c>
      <c r="F64" s="2" t="str">
        <f t="shared" si="1"/>
        <v xml:space="preserve">EN CHA/CHB | RGB | </v>
      </c>
    </row>
    <row r="65" spans="3:6" x14ac:dyDescent="0.2">
      <c r="D65" s="2">
        <v>7</v>
      </c>
      <c r="E65" s="2" t="str" cm="1">
        <f t="array" ref="E65">CONCATENATE("0x", Build_Instruction(D46,E46,F46))</f>
        <v>0x3F180000</v>
      </c>
      <c r="F65" s="2" t="str">
        <f t="shared" si="1"/>
        <v xml:space="preserve">EN CHA/CHB | RGB | </v>
      </c>
    </row>
    <row r="66" spans="3:6" x14ac:dyDescent="0.2">
      <c r="D66" s="2">
        <v>8</v>
      </c>
      <c r="E66" s="2" t="str" cm="1">
        <f t="array" ref="E66">CONCATENATE("0x", Build_Instruction(D47,E47,F47))</f>
        <v>0x3F180000</v>
      </c>
      <c r="F66" s="2" t="str">
        <f t="shared" si="1"/>
        <v xml:space="preserve">EN CHA/CHB | RGB | </v>
      </c>
    </row>
    <row r="67" spans="3:6" x14ac:dyDescent="0.2">
      <c r="D67" s="2">
        <v>9</v>
      </c>
      <c r="E67" s="2" t="str" cm="1">
        <f t="array" ref="E67">CONCATENATE("0x", Build_Instruction(D48,E48,F48))</f>
        <v>0x3F180000</v>
      </c>
      <c r="F67" s="2" t="str">
        <f t="shared" si="1"/>
        <v xml:space="preserve">EN CHA/CHB | RGB | </v>
      </c>
    </row>
    <row r="68" spans="3:6" x14ac:dyDescent="0.2">
      <c r="C68" s="9"/>
      <c r="D68" s="2">
        <v>10</v>
      </c>
      <c r="E68" s="2" t="str" cm="1">
        <f t="array" ref="E68">CONCATENATE("0x", Build_Instruction(D49,E49,F49))</f>
        <v>0x3F180000</v>
      </c>
      <c r="F68" s="2" t="str">
        <f t="shared" si="1"/>
        <v xml:space="preserve">EN CHA/CHB | RGB | </v>
      </c>
    </row>
    <row r="69" spans="3:6" x14ac:dyDescent="0.2">
      <c r="D69" s="2">
        <v>11</v>
      </c>
      <c r="E69" s="2" t="str" cm="1">
        <f t="array" ref="E69">CONCATENATE("0x", Build_Instruction(D50,E50,F50))</f>
        <v>0x3F180000</v>
      </c>
      <c r="F69" s="2" t="str">
        <f t="shared" si="1"/>
        <v xml:space="preserve">EN CHA/CHB | RGB | </v>
      </c>
    </row>
    <row r="70" spans="3:6" x14ac:dyDescent="0.2">
      <c r="D70" s="2">
        <v>12</v>
      </c>
      <c r="E70" s="2" t="str" cm="1">
        <f t="array" ref="E70">CONCATENATE("0x", Build_Instruction(D51,E51,F51))</f>
        <v>0x3F180000</v>
      </c>
      <c r="F70" s="2" t="str">
        <f t="shared" si="1"/>
        <v xml:space="preserve">EN CHA/CHB | RGB | </v>
      </c>
    </row>
    <row r="71" spans="3:6" x14ac:dyDescent="0.2">
      <c r="D71" s="2">
        <v>13</v>
      </c>
      <c r="E71" s="2" t="str" cm="1">
        <f t="array" ref="E71">CONCATENATE("0x", Build_Instruction(D52,E52,F52))</f>
        <v>0x3F180000</v>
      </c>
      <c r="F71" s="2" t="str">
        <f t="shared" si="1"/>
        <v xml:space="preserve">EN CHA/CHB | RGB | </v>
      </c>
    </row>
    <row r="72" spans="3:6" x14ac:dyDescent="0.2">
      <c r="D72" s="2">
        <v>14</v>
      </c>
      <c r="E72" s="2" t="str" cm="1">
        <f t="array" ref="E72">CONCATENATE("0x", Build_Instruction(D53,E53,F53))</f>
        <v>0x3F180000</v>
      </c>
      <c r="F72" s="2" t="str">
        <f t="shared" si="1"/>
        <v xml:space="preserve">EN CHA/CHB | RGB | </v>
      </c>
    </row>
    <row r="73" spans="3:6" x14ac:dyDescent="0.2">
      <c r="D73" s="14">
        <v>15</v>
      </c>
      <c r="E73" s="14" t="s">
        <v>105</v>
      </c>
      <c r="F73" s="14" t="s">
        <v>106</v>
      </c>
    </row>
  </sheetData>
  <mergeCells count="9">
    <mergeCell ref="G38:J38"/>
    <mergeCell ref="A7:F7"/>
    <mergeCell ref="A33:F33"/>
    <mergeCell ref="B34:C34"/>
    <mergeCell ref="B35:C35"/>
    <mergeCell ref="B36:C36"/>
    <mergeCell ref="D34:E34"/>
    <mergeCell ref="D35:E35"/>
    <mergeCell ref="D36:E36"/>
  </mergeCells>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Hofmeyr</dc:creator>
  <cp:lastModifiedBy>Microsoft Office User</cp:lastModifiedBy>
  <dcterms:created xsi:type="dcterms:W3CDTF">2023-05-31T02:23:16Z</dcterms:created>
  <dcterms:modified xsi:type="dcterms:W3CDTF">2023-06-09T00:27:09Z</dcterms:modified>
</cp:coreProperties>
</file>